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f55de248ddbc90/Desktop/WEEKLY REPORTS MAIN/WEEK4/"/>
    </mc:Choice>
  </mc:AlternateContent>
  <xr:revisionPtr revIDLastSave="0" documentId="8_{AAA149BA-8154-470B-89A0-C029BF82AB6F}" xr6:coauthVersionLast="47" xr6:coauthVersionMax="47" xr10:uidLastSave="{00000000-0000-0000-0000-000000000000}"/>
  <bookViews>
    <workbookView xWindow="-110" yWindow="-110" windowWidth="19420" windowHeight="11500" xr2:uid="{AD08C93D-3886-4E25-8C8E-0302E184A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2" i="1"/>
  <c r="H5" i="1"/>
  <c r="I6" i="1" s="1"/>
  <c r="M4" i="1"/>
  <c r="M3" i="1"/>
  <c r="I2" i="1"/>
  <c r="H3" i="1"/>
  <c r="I4" i="1" s="1"/>
  <c r="H4" i="1"/>
  <c r="I5" i="1" s="1"/>
  <c r="H6" i="1"/>
  <c r="H2" i="1"/>
  <c r="I3" i="1" s="1"/>
  <c r="M8" i="1" s="1"/>
</calcChain>
</file>

<file path=xl/sharedStrings.xml><?xml version="1.0" encoding="utf-8"?>
<sst xmlns="http://schemas.openxmlformats.org/spreadsheetml/2006/main" count="37" uniqueCount="29">
  <si>
    <t>Branch</t>
  </si>
  <si>
    <t>Device Type</t>
  </si>
  <si>
    <t>Device ID</t>
  </si>
  <si>
    <t>Complaint Status</t>
  </si>
  <si>
    <t>Downtime Hours</t>
  </si>
  <si>
    <t>Last Maintenance</t>
  </si>
  <si>
    <t>Device Age (Years)</t>
  </si>
  <si>
    <t>Maintenance Overdue</t>
  </si>
  <si>
    <t>Risk Level</t>
  </si>
  <si>
    <t>Month</t>
  </si>
  <si>
    <t>ATM</t>
  </si>
  <si>
    <t>ATM001</t>
  </si>
  <si>
    <t>Pending</t>
  </si>
  <si>
    <t>Karachi</t>
  </si>
  <si>
    <t>Server</t>
  </si>
  <si>
    <t>SRV101</t>
  </si>
  <si>
    <t>Resolved</t>
  </si>
  <si>
    <t>Lahore</t>
  </si>
  <si>
    <t>Biometric</t>
  </si>
  <si>
    <t>BIO022</t>
  </si>
  <si>
    <t>Islamabad</t>
  </si>
  <si>
    <t>ATM009</t>
  </si>
  <si>
    <t>Switch</t>
  </si>
  <si>
    <t>SW055</t>
  </si>
  <si>
    <t>In Progress</t>
  </si>
  <si>
    <t>Branch Summary</t>
  </si>
  <si>
    <t>Pending Complaints</t>
  </si>
  <si>
    <t>Downtime</t>
  </si>
  <si>
    <t>High Risk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</si>
</sst>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A9DE-10EF-4F16-9AB1-4D95C96D9957}">
  <dimension ref="A1:M8"/>
  <sheetViews>
    <sheetView tabSelected="1" workbookViewId="0">
      <selection activeCell="H5" sqref="H5"/>
    </sheetView>
  </sheetViews>
  <sheetFormatPr defaultRowHeight="14.5" x14ac:dyDescent="0.35"/>
  <cols>
    <col min="1" max="1" width="6.7265625" bestFit="1" customWidth="1"/>
    <col min="2" max="2" width="10.81640625" bestFit="1" customWidth="1"/>
    <col min="4" max="4" width="15.453125" bestFit="1" customWidth="1"/>
    <col min="5" max="5" width="14.7265625" bestFit="1" customWidth="1"/>
    <col min="6" max="6" width="15.6328125" bestFit="1" customWidth="1"/>
    <col min="7" max="7" width="16.26953125" bestFit="1" customWidth="1"/>
    <col min="8" max="8" width="19.26953125" bestFit="1" customWidth="1"/>
    <col min="9" max="9" width="9.1796875" bestFit="1" customWidth="1"/>
    <col min="10" max="11" width="8.7265625" customWidth="1"/>
    <col min="12" max="12" width="17.90625" bestFit="1" customWidth="1"/>
    <col min="13" max="13" width="9.36328125" bestFit="1" customWidth="1"/>
  </cols>
  <sheetData>
    <row r="1" spans="1:13" ht="27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4" t="s">
        <v>25</v>
      </c>
      <c r="M1" s="4" t="s">
        <v>27</v>
      </c>
    </row>
    <row r="2" spans="1:13" x14ac:dyDescent="0.35">
      <c r="A2" s="1" t="s">
        <v>17</v>
      </c>
      <c r="B2" s="1" t="s">
        <v>10</v>
      </c>
      <c r="C2" s="1" t="s">
        <v>11</v>
      </c>
      <c r="D2" s="1" t="s">
        <v>12</v>
      </c>
      <c r="E2" s="1">
        <v>10</v>
      </c>
      <c r="F2" s="3">
        <v>46023</v>
      </c>
      <c r="G2" s="1">
        <v>6</v>
      </c>
      <c r="H2" s="1" t="str">
        <f ca="1">IF(TODAY()-F2&gt;90,"Yes","No")</f>
        <v>No</v>
      </c>
      <c r="I2" s="1" t="str">
        <f>IF(OR(E1&gt;8,D1="Pending",H1="Yes",G1&gt;5),"High",IF(E1&gt;=4,"Medium","Low"))</f>
        <v>High</v>
      </c>
      <c r="J2" s="1"/>
      <c r="L2" s="1" t="s">
        <v>17</v>
      </c>
      <c r="M2" s="1">
        <f>SUMIFS(E:E,A:A,"Lahore")</f>
        <v>18</v>
      </c>
    </row>
    <row r="3" spans="1:13" ht="29" x14ac:dyDescent="0.35">
      <c r="A3" s="1" t="s">
        <v>13</v>
      </c>
      <c r="B3" s="1" t="s">
        <v>14</v>
      </c>
      <c r="C3" s="1" t="s">
        <v>15</v>
      </c>
      <c r="D3" s="1" t="s">
        <v>16</v>
      </c>
      <c r="E3" s="1">
        <v>3</v>
      </c>
      <c r="F3" s="3">
        <v>46006</v>
      </c>
      <c r="G3" s="1">
        <v>4</v>
      </c>
      <c r="H3" s="1" t="str">
        <f t="shared" ref="H3:H6" ca="1" si="0">IF(TODAY()-F3&gt;90,"Yes","No")</f>
        <v>No</v>
      </c>
      <c r="I3" s="1" t="str">
        <f ca="1">IF(OR(E2&gt;8,D2="Pending",H2="Yes",G2&gt;5),"High",IF(E2&gt;=4,"Medium","Low"))</f>
        <v>High</v>
      </c>
      <c r="J3" s="1"/>
      <c r="L3" s="1" t="s">
        <v>13</v>
      </c>
      <c r="M3" s="1">
        <f>SUMIFS(E:E,A:A,"Karachi")</f>
        <v>9</v>
      </c>
    </row>
    <row r="4" spans="1:13" ht="29" x14ac:dyDescent="0.35">
      <c r="A4" s="1" t="s">
        <v>17</v>
      </c>
      <c r="B4" s="1" t="s">
        <v>18</v>
      </c>
      <c r="C4" s="1" t="s">
        <v>19</v>
      </c>
      <c r="D4" s="1" t="s">
        <v>12</v>
      </c>
      <c r="E4" s="1">
        <v>8</v>
      </c>
      <c r="F4" s="3">
        <v>45931</v>
      </c>
      <c r="G4" s="1">
        <v>5</v>
      </c>
      <c r="H4" s="1" t="str">
        <f t="shared" ca="1" si="0"/>
        <v>Yes</v>
      </c>
      <c r="I4" s="1" t="str">
        <f t="shared" ref="I4:I6" ca="1" si="1">IF(OR(E3&gt;8,D3="Pending",H3="Yes",G3&gt;5),"High",IF(E3&gt;=4,"Medium","Low"))</f>
        <v>Low</v>
      </c>
      <c r="J4" s="1"/>
      <c r="L4" s="1" t="s">
        <v>20</v>
      </c>
      <c r="M4" s="1">
        <f>SUMIFS(E:E,A:A,"Islamabad")</f>
        <v>2</v>
      </c>
    </row>
    <row r="5" spans="1:13" ht="29" x14ac:dyDescent="0.35">
      <c r="A5" s="1" t="s">
        <v>20</v>
      </c>
      <c r="B5" s="1" t="s">
        <v>10</v>
      </c>
      <c r="C5" s="1" t="s">
        <v>21</v>
      </c>
      <c r="D5" s="1" t="s">
        <v>16</v>
      </c>
      <c r="E5" s="1">
        <v>2</v>
      </c>
      <c r="F5" s="3">
        <v>46063</v>
      </c>
      <c r="G5" s="1">
        <v>2</v>
      </c>
      <c r="H5" s="1" t="str">
        <f ca="1">IF(TODAY()-F5&gt;90,"Yes","No")</f>
        <v>No</v>
      </c>
      <c r="I5" s="1" t="str">
        <f t="shared" ca="1" si="1"/>
        <v>High</v>
      </c>
      <c r="J5" s="1"/>
    </row>
    <row r="6" spans="1:13" ht="29" x14ac:dyDescent="0.35">
      <c r="A6" s="1" t="s">
        <v>13</v>
      </c>
      <c r="B6" s="1" t="s">
        <v>22</v>
      </c>
      <c r="C6" s="1" t="s">
        <v>23</v>
      </c>
      <c r="D6" s="1" t="s">
        <v>24</v>
      </c>
      <c r="E6" s="1">
        <v>6</v>
      </c>
      <c r="F6" s="3">
        <v>45962</v>
      </c>
      <c r="G6" s="1">
        <v>7</v>
      </c>
      <c r="H6" s="1" t="str">
        <f t="shared" ca="1" si="0"/>
        <v>Yes</v>
      </c>
      <c r="I6" s="1" t="str">
        <f t="shared" ca="1" si="1"/>
        <v>Low</v>
      </c>
      <c r="L6" s="4" t="s">
        <v>26</v>
      </c>
      <c r="M6">
        <f>COUNTIFS(D:D,"Pending")</f>
        <v>2</v>
      </c>
    </row>
    <row r="8" spans="1:13" x14ac:dyDescent="0.35">
      <c r="L8" s="4" t="s">
        <v>28</v>
      </c>
      <c r="M8">
        <f ca="1">COUNTIFS(I:I,"High")</f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FA23-BCS-041 Maheen Tokir</dc:creator>
  <cp:lastModifiedBy>Maheen Tokir</cp:lastModifiedBy>
  <dcterms:created xsi:type="dcterms:W3CDTF">2026-02-15T11:16:17Z</dcterms:created>
  <dcterms:modified xsi:type="dcterms:W3CDTF">2026-02-15T15:22:24Z</dcterms:modified>
</cp:coreProperties>
</file>